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rymoney27/Desktop/"/>
    </mc:Choice>
  </mc:AlternateContent>
  <xr:revisionPtr revIDLastSave="0" documentId="8_{DE987D33-778F-494E-86DD-9EC7CF21FDCB}" xr6:coauthVersionLast="47" xr6:coauthVersionMax="47" xr10:uidLastSave="{00000000-0000-0000-0000-000000000000}"/>
  <bookViews>
    <workbookView xWindow="0" yWindow="0" windowWidth="28800" windowHeight="18000" xr2:uid="{B004F932-6F46-204E-942F-23D14D8C8E86}"/>
  </bookViews>
  <sheets>
    <sheet name="Risk Assessment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1" l="1"/>
  <c r="I16" i="1" s="1"/>
  <c r="H15" i="1"/>
  <c r="I15" i="1" s="1"/>
  <c r="H14" i="1"/>
  <c r="I14" i="1" s="1"/>
  <c r="H13" i="1"/>
  <c r="I13" i="1" s="1"/>
  <c r="H12" i="1"/>
  <c r="I12" i="1" s="1"/>
  <c r="H11" i="1"/>
  <c r="I11" i="1" s="1"/>
  <c r="H10" i="1"/>
  <c r="I10" i="1" s="1"/>
  <c r="H9" i="1"/>
  <c r="I9" i="1" s="1"/>
  <c r="H8" i="1"/>
  <c r="I8" i="1" s="1"/>
  <c r="H7" i="1"/>
  <c r="I7" i="1" s="1"/>
  <c r="H3" i="1"/>
  <c r="I3" i="1" s="1"/>
  <c r="H4" i="1"/>
  <c r="I4" i="1" s="1"/>
  <c r="H5" i="1"/>
  <c r="I5" i="1" s="1"/>
  <c r="H6" i="1"/>
  <c r="I6" i="1" s="1"/>
  <c r="H2" i="1"/>
  <c r="I2" i="1" s="1"/>
</calcChain>
</file>

<file path=xl/sharedStrings.xml><?xml version="1.0" encoding="utf-8"?>
<sst xmlns="http://schemas.openxmlformats.org/spreadsheetml/2006/main" count="111" uniqueCount="102">
  <si>
    <t>Risk ID</t>
  </si>
  <si>
    <t>Asset</t>
  </si>
  <si>
    <t>Threat</t>
  </si>
  <si>
    <t>Vulnerability</t>
  </si>
  <si>
    <t>Risk Scenario</t>
  </si>
  <si>
    <t>Likelihood</t>
  </si>
  <si>
    <t>Impact</t>
  </si>
  <si>
    <t>Risk Score</t>
  </si>
  <si>
    <t>Risk Rating</t>
  </si>
  <si>
    <t>Likelihood Scale</t>
  </si>
  <si>
    <t>Score</t>
  </si>
  <si>
    <t>Meaning</t>
  </si>
  <si>
    <t>Rare</t>
  </si>
  <si>
    <t>Unlikely</t>
  </si>
  <si>
    <t>Possible</t>
  </si>
  <si>
    <t>Likely</t>
  </si>
  <si>
    <t>Almost Certain</t>
  </si>
  <si>
    <t>Impact Scale</t>
  </si>
  <si>
    <t>Negligible</t>
  </si>
  <si>
    <t>Minor</t>
  </si>
  <si>
    <t>Moderate</t>
  </si>
  <si>
    <t>Major</t>
  </si>
  <si>
    <t>Severe</t>
  </si>
  <si>
    <t>Risk Rating Guide</t>
  </si>
  <si>
    <t>Score Range</t>
  </si>
  <si>
    <t>Rating</t>
  </si>
  <si>
    <t>1-4</t>
  </si>
  <si>
    <t>Low</t>
  </si>
  <si>
    <t>5-9</t>
  </si>
  <si>
    <t>Medium</t>
  </si>
  <si>
    <t>10-15</t>
  </si>
  <si>
    <t>High</t>
  </si>
  <si>
    <t>16-25</t>
  </si>
  <si>
    <t>Critical</t>
  </si>
  <si>
    <t>R001</t>
  </si>
  <si>
    <t>Microsoft 365</t>
  </si>
  <si>
    <t>Phishing</t>
  </si>
  <si>
    <t>Missing MFA</t>
  </si>
  <si>
    <t>An attacker could compromise microsoft 365 accounts through phishing attacks due to missing MFA controls.</t>
  </si>
  <si>
    <t>R002</t>
  </si>
  <si>
    <t>R003</t>
  </si>
  <si>
    <t>R004</t>
  </si>
  <si>
    <t>R005</t>
  </si>
  <si>
    <t>Fan Database</t>
  </si>
  <si>
    <t>Data Breach</t>
  </si>
  <si>
    <t>Cloud Misconfiguration</t>
  </si>
  <si>
    <t>Sensitive fan information could be exposed due to insecure cloud configuration.</t>
  </si>
  <si>
    <t>Employee Laptop</t>
  </si>
  <si>
    <t>Lost Laptop</t>
  </si>
  <si>
    <t>No Encryption On Devices</t>
  </si>
  <si>
    <t>Lost or stolen laptops could expose sensitive organizational informarion</t>
  </si>
  <si>
    <t>Payroll System</t>
  </si>
  <si>
    <t>Credential Theft</t>
  </si>
  <si>
    <t>Weak Passwords</t>
  </si>
  <si>
    <t>Attackers may gain unauthorized access to payroll systems through stolen credentials.</t>
  </si>
  <si>
    <t>Vendor Contracts</t>
  </si>
  <si>
    <t>Third Party Vendor Breach</t>
  </si>
  <si>
    <t xml:space="preserve">Lack of Vendor Reviews </t>
  </si>
  <si>
    <t>Sensitive contract information may be exposed through compromised vendors.</t>
  </si>
  <si>
    <t>R006</t>
  </si>
  <si>
    <t>R007</t>
  </si>
  <si>
    <t>R008</t>
  </si>
  <si>
    <t>R009</t>
  </si>
  <si>
    <t>R010</t>
  </si>
  <si>
    <t>Unauthorized Access</t>
  </si>
  <si>
    <t>Excessive User Permissions</t>
  </si>
  <si>
    <t>SharePoint</t>
  </si>
  <si>
    <t>Users may gain access to sensitive SharePoint data beyond their job responsibilities.</t>
  </si>
  <si>
    <t>Executive Email Accounts</t>
  </si>
  <si>
    <t>Business Email Compromise</t>
  </si>
  <si>
    <t>Weak Email Filtering</t>
  </si>
  <si>
    <t>Attackers may impersonate executives to conduct fraud or steal information.</t>
  </si>
  <si>
    <t>Cloud Backup</t>
  </si>
  <si>
    <t>Backup Failure</t>
  </si>
  <si>
    <t>Insufficient Backups</t>
  </si>
  <si>
    <t>Critical business data may not be recoverable after a system failure.</t>
  </si>
  <si>
    <t>CRM System</t>
  </si>
  <si>
    <t>Social Engineering</t>
  </si>
  <si>
    <t>Lack of Security Awareness</t>
  </si>
  <si>
    <t>Employees may disclose sensitive CRM information to attackers.</t>
  </si>
  <si>
    <t>VPN Gateway</t>
  </si>
  <si>
    <t>Weak Password Exploitation</t>
  </si>
  <si>
    <t>Attackers may gain remote access through compromised VPN credentials.</t>
  </si>
  <si>
    <t>R011</t>
  </si>
  <si>
    <t>R012</t>
  </si>
  <si>
    <t>R013</t>
  </si>
  <si>
    <t>R014</t>
  </si>
  <si>
    <t>R015</t>
  </si>
  <si>
    <t>Finance Records</t>
  </si>
  <si>
    <t>Financial records may be exposed due to improperly configured cloud storage services.</t>
  </si>
  <si>
    <t>Employee Mobile Devices</t>
  </si>
  <si>
    <t>Lost or stolen mobile devices could expose sensitive organizational informarion.</t>
  </si>
  <si>
    <t>Incident Response Plan</t>
  </si>
  <si>
    <t>Privilege Abuse</t>
  </si>
  <si>
    <t>No Formal Incident Response Testing</t>
  </si>
  <si>
    <t>Security incidents may not be managed effectively due to lack of testing and validation.</t>
  </si>
  <si>
    <t>Corporate Website</t>
  </si>
  <si>
    <t>DDoS Attack</t>
  </si>
  <si>
    <t>Lack of Log Monitoring</t>
  </si>
  <si>
    <t>Attackers may disrupt website availability through denial of service attacks.</t>
  </si>
  <si>
    <t>Vendor Assessment Reports</t>
  </si>
  <si>
    <t>Security weakness in vendors may expose organizational information.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</si>
</sst>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16" fontId="0" fillId="0" borderId="1" xfId="0" quotePrefix="1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center" vertical="top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 wrapText="1"/>
    </xf>
  </cellXfs>
  <cellStyles count="1">
    <cellStyle name="Normal" xfId="0" builtinId="0"/>
  </cellStyles>
  <dxfs count="39"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ill>
        <patternFill>
          <bgColor rgb="FFFFC7CE"/>
        </patternFill>
      </fill>
    </dxf>
    <dxf>
      <font>
        <color theme="1"/>
      </font>
      <fill>
        <patternFill>
          <bgColor theme="5" tint="-0.24994659260841701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theme="5" tint="-0.24994659260841701"/>
        </patternFill>
      </fill>
    </dxf>
    <dxf>
      <fill>
        <patternFill>
          <bgColor rgb="FFFFC7CE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ill>
        <patternFill>
          <bgColor rgb="FFFFC7CE"/>
        </patternFill>
      </fill>
    </dxf>
    <dxf>
      <font>
        <color theme="1"/>
      </font>
      <fill>
        <patternFill>
          <bgColor theme="5" tint="-0.24994659260841701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theme="5"/>
        </patternFill>
      </fill>
    </dxf>
    <dxf>
      <fill>
        <patternFill>
          <bgColor rgb="FFFFC7CE"/>
        </patternFill>
      </fill>
    </dxf>
    <dxf>
      <font>
        <color theme="1"/>
      </font>
      <fill>
        <patternFill>
          <bgColor theme="5" tint="-0.24994659260841701"/>
        </patternFill>
      </fill>
    </dxf>
    <dxf>
      <font>
        <color theme="1"/>
      </font>
      <fill>
        <patternFill>
          <bgColor rgb="FFC00000"/>
        </patternFill>
      </fill>
    </dxf>
    <dxf>
      <fill>
        <patternFill>
          <bgColor rgb="FFFFC7CE"/>
        </patternFill>
      </fill>
    </dxf>
    <dxf>
      <font>
        <color theme="1"/>
      </font>
      <fill>
        <patternFill>
          <bgColor theme="5" tint="-0.24994659260841701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theme="5" tint="-0.24994659260841701"/>
        </patternFill>
      </fill>
    </dxf>
    <dxf>
      <font>
        <color theme="1"/>
      </font>
      <fill>
        <patternFill>
          <bgColor rgb="FFC00000"/>
        </patternFill>
      </fill>
    </dxf>
    <dxf>
      <font>
        <color theme="1"/>
      </font>
      <fill>
        <patternFill>
          <bgColor rgb="FFC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1BA24D-D0E8-7D49-8B80-A79CF6F462D1}" name="Table1" displayName="Table1" ref="A1:I16" totalsRowShown="0" headerRowDxfId="37" dataDxfId="38">
  <autoFilter ref="A1:I16" xr:uid="{501BA24D-D0E8-7D49-8B80-A79CF6F462D1}"/>
  <tableColumns count="9">
    <tableColumn id="1" xr3:uid="{71236EB5-0C3F-C94F-AA03-16CF0086F3D3}" name="Risk ID" dataDxfId="21"/>
    <tableColumn id="2" xr3:uid="{67C1EEF4-454D-2544-8715-8382A95BC624}" name="Asset" dataDxfId="20"/>
    <tableColumn id="3" xr3:uid="{60DF3A65-810E-B648-B334-389D3FE6CFA8}" name="Threat" dataDxfId="19"/>
    <tableColumn id="4" xr3:uid="{17C14C83-5280-7248-9DED-F20E0053E45B}" name="Vulnerability" dataDxfId="18"/>
    <tableColumn id="5" xr3:uid="{2A3567B5-D3BB-2846-A36D-7B1D8AABA2CA}" name="Risk Scenario" dataDxfId="17"/>
    <tableColumn id="6" xr3:uid="{96070CEC-D564-7D48-8E3E-E51D44693BD9}" name="Likelihood" dataDxfId="16"/>
    <tableColumn id="7" xr3:uid="{B23335C9-33F0-BC4E-83DC-CF9439E8947F}" name="Impact" dataDxfId="15"/>
    <tableColumn id="8" xr3:uid="{3BEAE9D4-BE7D-EC4B-99B1-846AEAF24AAE}" name="Risk Score" dataDxfId="14">
      <calculatedColumnFormula>F2*G2</calculatedColumnFormula>
    </tableColumn>
    <tableColumn id="9" xr3:uid="{E3A3541A-286B-304F-B075-9DF9A200B8C8}" name="Risk Rating" dataDxfId="13">
      <calculatedColumnFormula>IF(H2&gt;=16,"Critical",IF(H2&gt;=10,"High",IF(H2&gt;=5,"Medium","Low")))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617B9-987A-664A-8AFF-F652F72A0D7C}">
  <dimension ref="A1:L27"/>
  <sheetViews>
    <sheetView tabSelected="1" workbookViewId="0">
      <selection activeCell="J4" sqref="J4"/>
    </sheetView>
  </sheetViews>
  <sheetFormatPr baseColWidth="10" defaultRowHeight="16" x14ac:dyDescent="0.2"/>
  <cols>
    <col min="2" max="2" width="23.6640625" bestFit="1" customWidth="1"/>
    <col min="3" max="3" width="24.1640625" bestFit="1" customWidth="1"/>
    <col min="4" max="4" width="31.1640625" bestFit="1" customWidth="1"/>
    <col min="5" max="5" width="39" customWidth="1"/>
    <col min="6" max="6" width="12" customWidth="1"/>
    <col min="8" max="8" width="12.1640625" customWidth="1"/>
    <col min="9" max="9" width="12.83203125" customWidth="1"/>
    <col min="11" max="11" width="15.1640625" bestFit="1" customWidth="1"/>
    <col min="12" max="12" width="13.1640625" bestFit="1" customWidth="1"/>
  </cols>
  <sheetData>
    <row r="1" spans="1:12" ht="17" x14ac:dyDescent="0.2">
      <c r="A1" s="2" t="s">
        <v>0</v>
      </c>
      <c r="B1" s="2" t="s">
        <v>1</v>
      </c>
      <c r="C1" s="2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K1" s="4" t="s">
        <v>9</v>
      </c>
    </row>
    <row r="2" spans="1:12" ht="51" x14ac:dyDescent="0.2">
      <c r="A2" s="9" t="s">
        <v>34</v>
      </c>
      <c r="B2" s="3" t="s">
        <v>35</v>
      </c>
      <c r="C2" s="3" t="s">
        <v>36</v>
      </c>
      <c r="D2" s="3" t="s">
        <v>37</v>
      </c>
      <c r="E2" s="10" t="s">
        <v>38</v>
      </c>
      <c r="F2" s="3">
        <v>4</v>
      </c>
      <c r="G2" s="3">
        <v>5</v>
      </c>
      <c r="H2" s="3">
        <f>F2*G2</f>
        <v>20</v>
      </c>
      <c r="I2" s="3" t="str">
        <f>IF(H2&gt;=16,"Critical",IF(H2&gt;=10,"High",IF(H2&gt;=5,"Medium","Low")))</f>
        <v>Critical</v>
      </c>
    </row>
    <row r="3" spans="1:12" ht="34" x14ac:dyDescent="0.2">
      <c r="A3" s="9" t="s">
        <v>39</v>
      </c>
      <c r="B3" s="3" t="s">
        <v>43</v>
      </c>
      <c r="C3" s="3" t="s">
        <v>44</v>
      </c>
      <c r="D3" s="3" t="s">
        <v>45</v>
      </c>
      <c r="E3" s="10" t="s">
        <v>46</v>
      </c>
      <c r="F3" s="3">
        <v>4</v>
      </c>
      <c r="G3" s="3">
        <v>5</v>
      </c>
      <c r="H3" s="3">
        <f t="shared" ref="H3:H6" si="0">F3*G3</f>
        <v>20</v>
      </c>
      <c r="I3" s="3" t="str">
        <f>IF(H3&gt;=16,"Critical",IF(H3&gt;=10,"High",IF(H3&gt;=5,"Medium","Low")))</f>
        <v>Critical</v>
      </c>
      <c r="K3" s="4" t="s">
        <v>10</v>
      </c>
      <c r="L3" s="4" t="s">
        <v>11</v>
      </c>
    </row>
    <row r="4" spans="1:12" ht="34" x14ac:dyDescent="0.2">
      <c r="A4" s="9" t="s">
        <v>40</v>
      </c>
      <c r="B4" s="3" t="s">
        <v>47</v>
      </c>
      <c r="C4" s="3" t="s">
        <v>48</v>
      </c>
      <c r="D4" s="3" t="s">
        <v>49</v>
      </c>
      <c r="E4" s="10" t="s">
        <v>50</v>
      </c>
      <c r="F4" s="3">
        <v>3</v>
      </c>
      <c r="G4" s="3">
        <v>4</v>
      </c>
      <c r="H4" s="3">
        <f t="shared" si="0"/>
        <v>12</v>
      </c>
      <c r="I4" s="3" t="str">
        <f>IF(H4&gt;=16,"Critical",IF(H4&gt;=10,"High",IF(H4&gt;=5,"Medium","Low")))</f>
        <v>High</v>
      </c>
      <c r="K4" s="3">
        <v>1</v>
      </c>
      <c r="L4" s="3" t="s">
        <v>12</v>
      </c>
    </row>
    <row r="5" spans="1:12" ht="34" x14ac:dyDescent="0.2">
      <c r="A5" s="9" t="s">
        <v>41</v>
      </c>
      <c r="B5" s="3" t="s">
        <v>51</v>
      </c>
      <c r="C5" s="3" t="s">
        <v>52</v>
      </c>
      <c r="D5" s="3" t="s">
        <v>53</v>
      </c>
      <c r="E5" s="10" t="s">
        <v>54</v>
      </c>
      <c r="F5" s="3">
        <v>4</v>
      </c>
      <c r="G5" s="3">
        <v>5</v>
      </c>
      <c r="H5" s="3">
        <f t="shared" si="0"/>
        <v>20</v>
      </c>
      <c r="I5" s="3" t="str">
        <f>IF(H5&gt;=16,"Critical",IF(H5&gt;=10,"High",IF(H5&gt;=5,"Medium","Low")))</f>
        <v>Critical</v>
      </c>
      <c r="K5" s="3">
        <v>2</v>
      </c>
      <c r="L5" s="3" t="s">
        <v>13</v>
      </c>
    </row>
    <row r="6" spans="1:12" ht="34" x14ac:dyDescent="0.2">
      <c r="A6" s="9" t="s">
        <v>42</v>
      </c>
      <c r="B6" s="3" t="s">
        <v>55</v>
      </c>
      <c r="C6" s="3" t="s">
        <v>56</v>
      </c>
      <c r="D6" s="3" t="s">
        <v>57</v>
      </c>
      <c r="E6" s="10" t="s">
        <v>58</v>
      </c>
      <c r="F6" s="3">
        <v>3</v>
      </c>
      <c r="G6" s="3">
        <v>4</v>
      </c>
      <c r="H6" s="3">
        <f t="shared" si="0"/>
        <v>12</v>
      </c>
      <c r="I6" s="3" t="str">
        <f>IF(H6&gt;=16,"Critical",IF(H6&gt;=10,"High",IF(H6&gt;=5,"Medium","Low")))</f>
        <v>High</v>
      </c>
      <c r="K6" s="3">
        <v>3</v>
      </c>
      <c r="L6" s="3" t="s">
        <v>14</v>
      </c>
    </row>
    <row r="7" spans="1:12" ht="34" x14ac:dyDescent="0.2">
      <c r="A7" s="11" t="s">
        <v>59</v>
      </c>
      <c r="B7" s="12" t="s">
        <v>66</v>
      </c>
      <c r="C7" s="12" t="s">
        <v>64</v>
      </c>
      <c r="D7" s="14" t="s">
        <v>65</v>
      </c>
      <c r="E7" s="13" t="s">
        <v>67</v>
      </c>
      <c r="F7" s="12">
        <v>3</v>
      </c>
      <c r="G7" s="12">
        <v>4</v>
      </c>
      <c r="H7" s="12">
        <f>F7*G7</f>
        <v>12</v>
      </c>
      <c r="I7" s="12" t="str">
        <f>IF(H7&gt;=16,"Critical",IF(H7&gt;=10,"High",IF(H7&gt;=5,"Medium","Low")))</f>
        <v>High</v>
      </c>
      <c r="K7" s="3">
        <v>4</v>
      </c>
      <c r="L7" s="3" t="s">
        <v>15</v>
      </c>
    </row>
    <row r="8" spans="1:12" ht="34" x14ac:dyDescent="0.2">
      <c r="A8" s="11" t="s">
        <v>60</v>
      </c>
      <c r="B8" s="12" t="s">
        <v>68</v>
      </c>
      <c r="C8" s="12" t="s">
        <v>69</v>
      </c>
      <c r="D8" s="12" t="s">
        <v>70</v>
      </c>
      <c r="E8" s="13" t="s">
        <v>71</v>
      </c>
      <c r="F8" s="12">
        <v>4</v>
      </c>
      <c r="G8" s="12">
        <v>5</v>
      </c>
      <c r="H8" s="12">
        <f>F8*G8</f>
        <v>20</v>
      </c>
      <c r="I8" s="12" t="str">
        <f>IF(H8&gt;=16,"Critical",IF(H8&gt;=10,"High",IF(H8&gt;=5,"Medium","Low")))</f>
        <v>Critical</v>
      </c>
      <c r="K8" s="3">
        <v>5</v>
      </c>
      <c r="L8" s="3" t="s">
        <v>16</v>
      </c>
    </row>
    <row r="9" spans="1:12" ht="34" x14ac:dyDescent="0.2">
      <c r="A9" s="11" t="s">
        <v>61</v>
      </c>
      <c r="B9" s="12" t="s">
        <v>72</v>
      </c>
      <c r="C9" s="12" t="s">
        <v>73</v>
      </c>
      <c r="D9" s="12" t="s">
        <v>74</v>
      </c>
      <c r="E9" s="13" t="s">
        <v>75</v>
      </c>
      <c r="F9" s="12">
        <v>3</v>
      </c>
      <c r="G9" s="12">
        <v>5</v>
      </c>
      <c r="H9" s="12">
        <f>F9*G9</f>
        <v>15</v>
      </c>
      <c r="I9" s="12" t="str">
        <f>IF(H9&gt;=16,"Critical",IF(H9&gt;=10,"High",IF(H9&gt;=5,"Medium","Low")))</f>
        <v>High</v>
      </c>
    </row>
    <row r="10" spans="1:12" ht="34" x14ac:dyDescent="0.2">
      <c r="A10" s="11" t="s">
        <v>62</v>
      </c>
      <c r="B10" s="12" t="s">
        <v>76</v>
      </c>
      <c r="C10" s="12" t="s">
        <v>77</v>
      </c>
      <c r="D10" s="12" t="s">
        <v>78</v>
      </c>
      <c r="E10" s="13" t="s">
        <v>79</v>
      </c>
      <c r="F10" s="12">
        <v>4</v>
      </c>
      <c r="G10" s="12">
        <v>4</v>
      </c>
      <c r="H10" s="12">
        <f>F10*G10</f>
        <v>16</v>
      </c>
      <c r="I10" s="12" t="str">
        <f>IF(H10&gt;=16,"Critical",IF(H10&gt;=10,"High",IF(H10&gt;=5,"Medium","Low")))</f>
        <v>Critical</v>
      </c>
    </row>
    <row r="11" spans="1:12" ht="34" x14ac:dyDescent="0.2">
      <c r="A11" s="11" t="s">
        <v>63</v>
      </c>
      <c r="B11" s="12" t="s">
        <v>80</v>
      </c>
      <c r="C11" s="12" t="s">
        <v>81</v>
      </c>
      <c r="D11" s="12" t="s">
        <v>53</v>
      </c>
      <c r="E11" s="13" t="s">
        <v>82</v>
      </c>
      <c r="F11" s="12">
        <v>4</v>
      </c>
      <c r="G11" s="12">
        <v>5</v>
      </c>
      <c r="H11" s="12">
        <f>F11*G11</f>
        <v>20</v>
      </c>
      <c r="I11" s="12" t="str">
        <f>IF(H11&gt;=16,"Critical",IF(H11&gt;=10,"High",IF(H11&gt;=5,"Medium","Low")))</f>
        <v>Critical</v>
      </c>
      <c r="K11" s="4" t="s">
        <v>17</v>
      </c>
    </row>
    <row r="12" spans="1:12" ht="34" x14ac:dyDescent="0.2">
      <c r="A12" s="11" t="s">
        <v>83</v>
      </c>
      <c r="B12" s="12" t="s">
        <v>88</v>
      </c>
      <c r="C12" s="12" t="s">
        <v>44</v>
      </c>
      <c r="D12" s="12" t="s">
        <v>45</v>
      </c>
      <c r="E12" s="13" t="s">
        <v>89</v>
      </c>
      <c r="F12" s="12">
        <v>3</v>
      </c>
      <c r="G12" s="12">
        <v>5</v>
      </c>
      <c r="H12" s="12">
        <f>F12*G12</f>
        <v>15</v>
      </c>
      <c r="I12" s="12" t="str">
        <f>IF(H12&gt;=16,"Critical",IF(H12&gt;=10,"High",IF(H12&gt;=5,"Medium","Low")))</f>
        <v>High</v>
      </c>
    </row>
    <row r="13" spans="1:12" ht="34" x14ac:dyDescent="0.2">
      <c r="A13" s="11" t="s">
        <v>84</v>
      </c>
      <c r="B13" s="12" t="s">
        <v>90</v>
      </c>
      <c r="C13" s="12" t="s">
        <v>48</v>
      </c>
      <c r="D13" s="12" t="s">
        <v>49</v>
      </c>
      <c r="E13" s="13" t="s">
        <v>91</v>
      </c>
      <c r="F13" s="12">
        <v>3</v>
      </c>
      <c r="G13" s="12">
        <v>4</v>
      </c>
      <c r="H13" s="12">
        <f>F13*G13</f>
        <v>12</v>
      </c>
      <c r="I13" s="12" t="str">
        <f>IF(H13&gt;=16,"Critical",IF(H13&gt;=10,"High",IF(H13&gt;=5,"Medium","Low")))</f>
        <v>High</v>
      </c>
      <c r="K13" s="4" t="s">
        <v>10</v>
      </c>
      <c r="L13" s="4" t="s">
        <v>11</v>
      </c>
    </row>
    <row r="14" spans="1:12" ht="51" x14ac:dyDescent="0.2">
      <c r="A14" s="11" t="s">
        <v>85</v>
      </c>
      <c r="B14" s="12" t="s">
        <v>92</v>
      </c>
      <c r="C14" s="12" t="s">
        <v>93</v>
      </c>
      <c r="D14" s="12" t="s">
        <v>94</v>
      </c>
      <c r="E14" s="13" t="s">
        <v>95</v>
      </c>
      <c r="F14" s="12">
        <v>3</v>
      </c>
      <c r="G14" s="12">
        <v>4</v>
      </c>
      <c r="H14" s="12">
        <f>F14*G14</f>
        <v>12</v>
      </c>
      <c r="I14" s="12" t="str">
        <f>IF(H14&gt;=16,"Critical",IF(H14&gt;=10,"High",IF(H14&gt;=5,"Medium","Low")))</f>
        <v>High</v>
      </c>
      <c r="K14" s="5">
        <v>1</v>
      </c>
      <c r="L14" s="5" t="s">
        <v>18</v>
      </c>
    </row>
    <row r="15" spans="1:12" ht="34" x14ac:dyDescent="0.2">
      <c r="A15" s="11" t="s">
        <v>86</v>
      </c>
      <c r="B15" s="12" t="s">
        <v>96</v>
      </c>
      <c r="C15" s="12" t="s">
        <v>97</v>
      </c>
      <c r="D15" s="12" t="s">
        <v>98</v>
      </c>
      <c r="E15" s="13" t="s">
        <v>99</v>
      </c>
      <c r="F15" s="12">
        <v>4</v>
      </c>
      <c r="G15" s="12">
        <v>4</v>
      </c>
      <c r="H15" s="12">
        <f>F15*G15</f>
        <v>16</v>
      </c>
      <c r="I15" s="12" t="str">
        <f>IF(H15&gt;=16,"Critical",IF(H15&gt;=10,"High",IF(H15&gt;=5,"Medium","Low")))</f>
        <v>Critical</v>
      </c>
      <c r="K15" s="5">
        <v>2</v>
      </c>
      <c r="L15" s="5" t="s">
        <v>19</v>
      </c>
    </row>
    <row r="16" spans="1:12" ht="34" x14ac:dyDescent="0.2">
      <c r="A16" s="11" t="s">
        <v>87</v>
      </c>
      <c r="B16" s="12" t="s">
        <v>100</v>
      </c>
      <c r="C16" s="12" t="s">
        <v>56</v>
      </c>
      <c r="D16" s="12" t="s">
        <v>57</v>
      </c>
      <c r="E16" s="13" t="s">
        <v>101</v>
      </c>
      <c r="F16" s="12">
        <v>3</v>
      </c>
      <c r="G16" s="12">
        <v>4</v>
      </c>
      <c r="H16" s="12">
        <f>F16*G16</f>
        <v>12</v>
      </c>
      <c r="I16" s="12" t="str">
        <f>IF(H16&gt;=16,"Critical",IF(H16&gt;=10,"High",IF(H16&gt;=5,"Medium","Low")))</f>
        <v>High</v>
      </c>
      <c r="K16" s="5">
        <v>3</v>
      </c>
      <c r="L16" s="5" t="s">
        <v>20</v>
      </c>
    </row>
    <row r="17" spans="11:12" x14ac:dyDescent="0.2">
      <c r="K17" s="5">
        <v>4</v>
      </c>
      <c r="L17" s="5" t="s">
        <v>21</v>
      </c>
    </row>
    <row r="18" spans="11:12" x14ac:dyDescent="0.2">
      <c r="K18" s="5">
        <v>5</v>
      </c>
      <c r="L18" s="5" t="s">
        <v>22</v>
      </c>
    </row>
    <row r="21" spans="11:12" x14ac:dyDescent="0.2">
      <c r="K21" s="6" t="s">
        <v>23</v>
      </c>
    </row>
    <row r="23" spans="11:12" x14ac:dyDescent="0.2">
      <c r="K23" s="6" t="s">
        <v>24</v>
      </c>
      <c r="L23" s="6" t="s">
        <v>25</v>
      </c>
    </row>
    <row r="24" spans="11:12" x14ac:dyDescent="0.2">
      <c r="K24" s="7" t="s">
        <v>26</v>
      </c>
      <c r="L24" s="5" t="s">
        <v>27</v>
      </c>
    </row>
    <row r="25" spans="11:12" x14ac:dyDescent="0.2">
      <c r="K25" s="8" t="s">
        <v>28</v>
      </c>
      <c r="L25" s="5" t="s">
        <v>29</v>
      </c>
    </row>
    <row r="26" spans="11:12" x14ac:dyDescent="0.2">
      <c r="K26" s="8" t="s">
        <v>30</v>
      </c>
      <c r="L26" s="5" t="s">
        <v>31</v>
      </c>
    </row>
    <row r="27" spans="11:12" x14ac:dyDescent="0.2">
      <c r="K27" s="8" t="s">
        <v>32</v>
      </c>
      <c r="L27" s="5" t="s">
        <v>33</v>
      </c>
    </row>
  </sheetData>
  <conditionalFormatting sqref="I2:I101">
    <cfRule type="containsText" dxfId="7" priority="7" operator="containsText" text="Critical">
      <formula>NOT(ISERROR(SEARCH("Critical",I2)))</formula>
    </cfRule>
    <cfRule type="containsText" dxfId="8" priority="6" operator="containsText" text="High">
      <formula>NOT(ISERROR(SEARCH("High",I2)))</formula>
    </cfRule>
    <cfRule type="containsText" dxfId="9" priority="5" operator="containsText" text="High">
      <formula>NOT(ISERROR(SEARCH("High",I2)))</formula>
    </cfRule>
    <cfRule type="containsText" dxfId="10" priority="4" operator="containsText" text="High">
      <formula>NOT(ISERROR(SEARCH("High",I2)))</formula>
    </cfRule>
    <cfRule type="containsText" dxfId="11" priority="3" operator="containsText" text="Critical">
      <formula>NOT(ISERROR(SEARCH("Critical",I2)))</formula>
    </cfRule>
    <cfRule type="containsText" dxfId="12" priority="2" operator="containsText" text="Medium">
      <formula>NOT(ISERROR(SEARCH("Medium",I2)))</formula>
    </cfRule>
    <cfRule type="containsText" dxfId="6" priority="1" operator="containsText" text="Low">
      <formula>NOT(ISERROR(SEARCH("Low",I2)))</formula>
    </cfRule>
  </conditionalFormatting>
  <dataValidations count="1">
    <dataValidation type="list" allowBlank="1" showInputMessage="1" showErrorMessage="1" sqref="F2:G101" xr:uid="{E6C5B7B6-76FB-A144-87C2-8BFBC48AB0FF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Risk Assessment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Alexander</dc:creator>
  <cp:lastModifiedBy>Ryan Alexander</cp:lastModifiedBy>
  <dcterms:created xsi:type="dcterms:W3CDTF">2026-06-06T17:33:18Z</dcterms:created>
  <dcterms:modified xsi:type="dcterms:W3CDTF">2026-06-06T19:57:58Z</dcterms:modified>
</cp:coreProperties>
</file>